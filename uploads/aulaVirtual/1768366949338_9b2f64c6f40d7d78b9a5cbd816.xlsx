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rgos\Downloads\"/>
    </mc:Choice>
  </mc:AlternateContent>
  <xr:revisionPtr revIDLastSave="0" documentId="13_ncr:1_{AA226A0A-66E6-4EA6-BABF-98B96AA210A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nalisis 06 al 11 de enero" sheetId="1" r:id="rId1"/>
    <sheet name="analisis 12 al 18 de enero" sheetId="3" r:id="rId2"/>
    <sheet name="pagin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3" l="1"/>
  <c r="I26" i="3"/>
  <c r="I22" i="3"/>
  <c r="I18" i="3"/>
  <c r="O11" i="3"/>
  <c r="I11" i="3"/>
  <c r="O13" i="3"/>
  <c r="N11" i="3"/>
  <c r="N13" i="3" s="1"/>
  <c r="M11" i="3"/>
  <c r="M13" i="3" s="1"/>
  <c r="I2" i="3"/>
  <c r="I5" i="3" s="1"/>
  <c r="I8" i="3" s="1"/>
  <c r="I14" i="3" s="1"/>
  <c r="M52" i="1"/>
  <c r="N52" i="1"/>
  <c r="P52" i="1"/>
  <c r="M54" i="1"/>
  <c r="N54" i="1"/>
  <c r="O52" i="1"/>
  <c r="O54" i="1"/>
  <c r="I2" i="1"/>
  <c r="I9" i="1"/>
  <c r="I13" i="1"/>
  <c r="I17" i="1"/>
  <c r="I21" i="1"/>
  <c r="P54" i="1"/>
  <c r="I24" i="1"/>
  <c r="I27" i="1"/>
  <c r="I31" i="1"/>
  <c r="I36" i="1"/>
  <c r="I40" i="1"/>
  <c r="I44" i="1"/>
  <c r="I48" i="1"/>
  <c r="I51" i="1"/>
  <c r="I54" i="1"/>
  <c r="P11" i="3" l="1"/>
  <c r="P13" i="3" s="1"/>
</calcChain>
</file>

<file path=xl/sharedStrings.xml><?xml version="1.0" encoding="utf-8"?>
<sst xmlns="http://schemas.openxmlformats.org/spreadsheetml/2006/main" count="291" uniqueCount="121">
  <si>
    <t>TIPO DE ANALISIS</t>
  </si>
  <si>
    <t>PARTIDO</t>
  </si>
  <si>
    <t>probabilidad 1</t>
  </si>
  <si>
    <t>probabilidad 2</t>
  </si>
  <si>
    <t>https://betmines.com/es</t>
  </si>
  <si>
    <t>probabilidad 3</t>
  </si>
  <si>
    <t>https://www.forebet.com/es/</t>
  </si>
  <si>
    <t>cleethorpes town vs whitby town</t>
  </si>
  <si>
    <t>null</t>
  </si>
  <si>
    <t>GRANADA VS RAYO VALLECANO</t>
  </si>
  <si>
    <t>menos 2.5</t>
  </si>
  <si>
    <t>menos 2.5 y ambos marcan</t>
  </si>
  <si>
    <t>PROBABILIDAD 1 %</t>
  </si>
  <si>
    <t>PROBABILIDAD 2 %</t>
  </si>
  <si>
    <t>PROBABILIDAD 3 %</t>
  </si>
  <si>
    <t>GANA O EMPATA</t>
  </si>
  <si>
    <t>JUVENTUS VS SASSUOLO</t>
  </si>
  <si>
    <t>LECCE VS ROMA</t>
  </si>
  <si>
    <t>FENERBACHE VS SAMSUSPORT</t>
  </si>
  <si>
    <t>MAS DE 1.5</t>
  </si>
  <si>
    <t>SPORTING LISBOA VS VICTORIA</t>
  </si>
  <si>
    <t>NULL</t>
  </si>
  <si>
    <t>https://www.sportytrader.com/es/</t>
  </si>
  <si>
    <t>6 de enero</t>
  </si>
  <si>
    <t>SASSUOLO VS JUVENTUS</t>
  </si>
  <si>
    <t>GANA O EMPATA JUVE</t>
  </si>
  <si>
    <t>WEST HAM VS NOTTINGHAN</t>
  </si>
  <si>
    <t>RANGERS VS ABERDEEN</t>
  </si>
  <si>
    <t>7 de enero</t>
  </si>
  <si>
    <t>CRYSTAL PALACE VS ASTON VILLA</t>
  </si>
  <si>
    <t>CITY VS BRIGHTON</t>
  </si>
  <si>
    <t>GANA  O EMPATA CITY</t>
  </si>
  <si>
    <t>NAPOLES VS VERONA</t>
  </si>
  <si>
    <t>NAPOLES MAS DE 0.5</t>
  </si>
  <si>
    <t>BARCELONA VS BILBAO</t>
  </si>
  <si>
    <t>FULHAM VS CHELSEA</t>
  </si>
  <si>
    <t>CHELSEA GANA O EMPATA</t>
  </si>
  <si>
    <t>PARMA VS INTER</t>
  </si>
  <si>
    <t>INTER MAS DE 0.5</t>
  </si>
  <si>
    <t>valor apuesta</t>
  </si>
  <si>
    <t>gane</t>
  </si>
  <si>
    <t>perdi</t>
  </si>
  <si>
    <t>saldo</t>
  </si>
  <si>
    <t>INICIE CON 1003,20 BS</t>
  </si>
  <si>
    <t>MARGEN DE GANANCIA Y PERDIDA</t>
  </si>
  <si>
    <t>8 de enero</t>
  </si>
  <si>
    <t>retiro</t>
  </si>
  <si>
    <t>ATLETICO VS REAL</t>
  </si>
  <si>
    <t>MARSELLA VS PSG</t>
  </si>
  <si>
    <t>MILAN VS GENOA</t>
  </si>
  <si>
    <t>ARSENAL VS LIVERPOOL</t>
  </si>
  <si>
    <t>AMBOS ANOTAN</t>
  </si>
  <si>
    <t>MILAN MAS DE 0.5</t>
  </si>
  <si>
    <t>INVERTIDO</t>
  </si>
  <si>
    <t>RECUPERDO</t>
  </si>
  <si>
    <t>PERDIDO</t>
  </si>
  <si>
    <t>BALANCE REAL</t>
  </si>
  <si>
    <t>10 de enero</t>
  </si>
  <si>
    <t>REAL SOCIEDAD VS GETAFE</t>
  </si>
  <si>
    <t>MALI VS SENEGAL</t>
  </si>
  <si>
    <t>EINTRICH VS DORMUN</t>
  </si>
  <si>
    <t>ATLAS VS PUEBLA</t>
  </si>
  <si>
    <t>CAMERRON VS MARRUECOS</t>
  </si>
  <si>
    <t>JUAREZ VS MAZATLAN</t>
  </si>
  <si>
    <t>AMERICA VS TIJUANA</t>
  </si>
  <si>
    <t>SOCIEDAD MAS DE 0.5</t>
  </si>
  <si>
    <t>DORMUN GANA O EMPATA</t>
  </si>
  <si>
    <t>MENOS DE 3.5</t>
  </si>
  <si>
    <t>09 de enero</t>
  </si>
  <si>
    <t>OVIEDO VS BETIS</t>
  </si>
  <si>
    <t>VALENCIA VS ELCHE</t>
  </si>
  <si>
    <t>VILLAREAL VS ALAVES</t>
  </si>
  <si>
    <t>ROMA VS SOSSUOLO</t>
  </si>
  <si>
    <t>MANCHESTER VS EXETER</t>
  </si>
  <si>
    <t>APOEL VS AKRITAS</t>
  </si>
  <si>
    <t>CHELSEA VS CHARLTON</t>
  </si>
  <si>
    <t>VILLA VS TOTTEMHAM</t>
  </si>
  <si>
    <t>BETIS GANA O EMPATA</t>
  </si>
  <si>
    <t>ELCHE MAS 0.5</t>
  </si>
  <si>
    <t>MAS 1.5</t>
  </si>
  <si>
    <t>BAYER VS STURGAR</t>
  </si>
  <si>
    <t>ROMAS MAS 0.5</t>
  </si>
  <si>
    <t>MAS DE 2.5</t>
  </si>
  <si>
    <t>TOTEM MAS 0.5</t>
  </si>
  <si>
    <t>11 de enero</t>
  </si>
  <si>
    <t>BAYER VS WOLSBURGO</t>
  </si>
  <si>
    <t>REAL MADRID VS BARCELONA</t>
  </si>
  <si>
    <t>FIORENTINA VS MILAN</t>
  </si>
  <si>
    <t>INTER VS NAPOLES</t>
  </si>
  <si>
    <t>PORTSMOUTH VS ARSENAL</t>
  </si>
  <si>
    <t>LILLE VS LYON</t>
  </si>
  <si>
    <t>LYON MAS DE 0.5</t>
  </si>
  <si>
    <t>INICIE CON 2,60 $</t>
  </si>
  <si>
    <t>CERRE CON 3.155,52 BS</t>
  </si>
  <si>
    <t>12 de enero</t>
  </si>
  <si>
    <t>CELTA VS SEVILLA</t>
  </si>
  <si>
    <t>CELTA MAS DE 0.5</t>
  </si>
  <si>
    <t>PSG VS PARIS</t>
  </si>
  <si>
    <t>JUVENTUS VS CREMONESE</t>
  </si>
  <si>
    <t>AL HILAL VS AL NASSR</t>
  </si>
  <si>
    <t>INICIE CON 3.155,52 BS</t>
  </si>
  <si>
    <t>INICIE CON 8,21 $</t>
  </si>
  <si>
    <t>DORMUNT VS BREMEN</t>
  </si>
  <si>
    <t>NEWCASTLE VS CITY</t>
  </si>
  <si>
    <t>ROMA VS TORINO</t>
  </si>
  <si>
    <t>AMBOS MARCAN</t>
  </si>
  <si>
    <t>ROMA MAS DE 0.5</t>
  </si>
  <si>
    <t>NAPOLI VS PARMA</t>
  </si>
  <si>
    <t>INTER VS LECCE</t>
  </si>
  <si>
    <t>NIGERIA VS MARRUECOS</t>
  </si>
  <si>
    <t>SENEGAL VS EGIPTO</t>
  </si>
  <si>
    <t>ARSENAL VS CHELSEA</t>
  </si>
  <si>
    <t>BETIS VS ELCHE</t>
  </si>
  <si>
    <t>AZ ALKMAAR VS AJAX</t>
  </si>
  <si>
    <t>RB LEIPZIG VS FRIBURG</t>
  </si>
  <si>
    <t>AJAX MAS DE 0.5</t>
  </si>
  <si>
    <t>COLONIA VS BAYER</t>
  </si>
  <si>
    <t>BAYER MAS DE 1.5</t>
  </si>
  <si>
    <t>LEIPZIG O EMPATE</t>
  </si>
  <si>
    <t>REAL SOCIEDAD VS GIRONA</t>
  </si>
  <si>
    <t>ARSENAL O 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</si>
</sst>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s.S&quot;#,##0.00"/>
    <numFmt numFmtId="165" formatCode="[$$-540A]#,##0.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Montserrat Black"/>
      <family val="3"/>
    </font>
    <font>
      <b/>
      <sz val="18"/>
      <color rgb="FFFF0000"/>
      <name val="Arial"/>
      <family val="2"/>
    </font>
    <font>
      <b/>
      <u/>
      <sz val="11"/>
      <color theme="9"/>
      <name val="Montserrat Black"/>
      <family val="3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5" fillId="0" borderId="0" xfId="0" applyFont="1"/>
    <xf numFmtId="0" fontId="0" fillId="3" borderId="0" xfId="0" applyFill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165" fontId="3" fillId="10" borderId="0" xfId="0" applyNumberFormat="1" applyFont="1" applyFill="1" applyBorder="1" applyAlignment="1">
      <alignment horizontal="center" vertical="center"/>
    </xf>
    <xf numFmtId="165" fontId="3" fillId="7" borderId="0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165" fontId="4" fillId="9" borderId="0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ytrader.com/es/" TargetMode="External"/><Relationship Id="rId2" Type="http://schemas.openxmlformats.org/officeDocument/2006/relationships/hyperlink" Target="https://betmines.com/es" TargetMode="External"/><Relationship Id="rId1" Type="http://schemas.openxmlformats.org/officeDocument/2006/relationships/hyperlink" Target="https://www.forebet.com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58"/>
  <sheetViews>
    <sheetView topLeftCell="M50" zoomScale="297" zoomScaleNormal="115" workbookViewId="0">
      <selection activeCell="F57" sqref="F57:J58"/>
    </sheetView>
  </sheetViews>
  <sheetFormatPr baseColWidth="10" defaultColWidth="11.42578125" defaultRowHeight="15" x14ac:dyDescent="0.25"/>
  <cols>
    <col min="1" max="1" width="30.85546875" style="1" bestFit="1" customWidth="1"/>
    <col min="2" max="2" width="25.28515625" style="1" bestFit="1" customWidth="1"/>
    <col min="3" max="5" width="17.7109375" style="4" bestFit="1" customWidth="1"/>
    <col min="6" max="6" width="12.85546875" style="3" bestFit="1" customWidth="1"/>
    <col min="7" max="7" width="12.28515625" style="3" bestFit="1" customWidth="1"/>
    <col min="8" max="8" width="10.7109375" style="3" bestFit="1" customWidth="1"/>
    <col min="9" max="9" width="12.28515625" style="3" bestFit="1" customWidth="1"/>
    <col min="10" max="10" width="8.42578125" style="3" bestFit="1" customWidth="1"/>
    <col min="11" max="11" width="7.85546875" style="1" bestFit="1" customWidth="1"/>
    <col min="12" max="12" width="11.42578125" style="1"/>
    <col min="13" max="14" width="12.7109375" style="1" bestFit="1" customWidth="1"/>
    <col min="15" max="15" width="12.28515625" style="1" bestFit="1" customWidth="1"/>
    <col min="16" max="16" width="19.28515625" style="1" bestFit="1" customWidth="1"/>
    <col min="17" max="16384" width="11.42578125" style="1"/>
  </cols>
  <sheetData>
    <row r="1" spans="1:10" x14ac:dyDescent="0.25">
      <c r="A1" s="1" t="s">
        <v>1</v>
      </c>
      <c r="B1" s="1" t="s">
        <v>0</v>
      </c>
      <c r="C1" s="4" t="s">
        <v>12</v>
      </c>
      <c r="D1" s="4" t="s">
        <v>13</v>
      </c>
      <c r="E1" s="4" t="s">
        <v>14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46</v>
      </c>
    </row>
    <row r="2" spans="1:10" x14ac:dyDescent="0.25">
      <c r="A2" s="5" t="s">
        <v>7</v>
      </c>
      <c r="B2" s="5" t="s">
        <v>10</v>
      </c>
      <c r="C2" s="6">
        <v>0.91</v>
      </c>
      <c r="D2" s="6" t="s">
        <v>8</v>
      </c>
      <c r="E2" s="6" t="s">
        <v>8</v>
      </c>
      <c r="F2" s="26">
        <v>3.2</v>
      </c>
      <c r="G2" s="26">
        <v>0</v>
      </c>
      <c r="H2" s="26">
        <v>3.2</v>
      </c>
      <c r="I2" s="26">
        <f>(1003.2)-(F2)+(G2)</f>
        <v>1000</v>
      </c>
      <c r="J2" s="26">
        <v>0</v>
      </c>
    </row>
    <row r="3" spans="1:10" x14ac:dyDescent="0.25">
      <c r="A3" s="7" t="s">
        <v>9</v>
      </c>
      <c r="B3" s="7" t="s">
        <v>11</v>
      </c>
      <c r="C3" s="8">
        <v>0.59</v>
      </c>
      <c r="D3" s="8">
        <v>0.55000000000000004</v>
      </c>
      <c r="E3" s="8">
        <v>0.5</v>
      </c>
      <c r="F3" s="26"/>
      <c r="G3" s="26"/>
      <c r="H3" s="26"/>
      <c r="I3" s="26"/>
      <c r="J3" s="26"/>
    </row>
    <row r="4" spans="1:10" x14ac:dyDescent="0.25">
      <c r="A4" s="5" t="s">
        <v>16</v>
      </c>
      <c r="B4" s="5" t="s">
        <v>15</v>
      </c>
      <c r="C4" s="6">
        <v>0.74</v>
      </c>
      <c r="D4" s="6">
        <v>0.5</v>
      </c>
      <c r="E4" s="6" t="s">
        <v>8</v>
      </c>
      <c r="F4" s="26"/>
      <c r="G4" s="26"/>
      <c r="H4" s="26"/>
      <c r="I4" s="26"/>
      <c r="J4" s="26"/>
    </row>
    <row r="5" spans="1:10" x14ac:dyDescent="0.25">
      <c r="A5" s="5" t="s">
        <v>17</v>
      </c>
      <c r="B5" s="5" t="s">
        <v>15</v>
      </c>
      <c r="C5" s="6">
        <v>0.78</v>
      </c>
      <c r="D5" s="6">
        <v>0.53</v>
      </c>
      <c r="E5" s="6">
        <v>0.5</v>
      </c>
      <c r="F5" s="26"/>
      <c r="G5" s="26"/>
      <c r="H5" s="26"/>
      <c r="I5" s="26"/>
      <c r="J5" s="26"/>
    </row>
    <row r="6" spans="1:10" x14ac:dyDescent="0.25">
      <c r="A6" s="5" t="s">
        <v>18</v>
      </c>
      <c r="B6" s="5" t="s">
        <v>19</v>
      </c>
      <c r="C6" s="6" t="s">
        <v>8</v>
      </c>
      <c r="D6" s="6">
        <v>0.6</v>
      </c>
      <c r="E6" s="6">
        <v>0.5</v>
      </c>
      <c r="F6" s="26"/>
      <c r="G6" s="26"/>
      <c r="H6" s="26"/>
      <c r="I6" s="26"/>
      <c r="J6" s="26"/>
    </row>
    <row r="7" spans="1:10" x14ac:dyDescent="0.25">
      <c r="A7" s="5" t="s">
        <v>20</v>
      </c>
      <c r="B7" s="5" t="s">
        <v>19</v>
      </c>
      <c r="C7" s="6" t="s">
        <v>8</v>
      </c>
      <c r="D7" s="6">
        <v>0.53</v>
      </c>
      <c r="E7" s="6">
        <v>0.5</v>
      </c>
      <c r="F7" s="26"/>
      <c r="G7" s="26"/>
      <c r="H7" s="26"/>
      <c r="I7" s="26"/>
      <c r="J7" s="26"/>
    </row>
    <row r="8" spans="1:10" x14ac:dyDescent="0.25">
      <c r="A8" s="25" t="s">
        <v>23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x14ac:dyDescent="0.25">
      <c r="A9" s="5" t="s">
        <v>24</v>
      </c>
      <c r="B9" s="5" t="s">
        <v>25</v>
      </c>
      <c r="C9" s="6">
        <v>0.6</v>
      </c>
      <c r="D9" s="6">
        <v>0.74</v>
      </c>
      <c r="E9" s="6" t="s">
        <v>21</v>
      </c>
      <c r="F9" s="26">
        <v>500</v>
      </c>
      <c r="G9" s="26">
        <v>886.5</v>
      </c>
      <c r="H9" s="26">
        <v>0</v>
      </c>
      <c r="I9" s="26">
        <f>(I2)-(F9)+(G9)</f>
        <v>1386.5</v>
      </c>
      <c r="J9" s="26">
        <v>0</v>
      </c>
    </row>
    <row r="10" spans="1:10" x14ac:dyDescent="0.25">
      <c r="A10" s="5" t="s">
        <v>26</v>
      </c>
      <c r="B10" s="5" t="s">
        <v>19</v>
      </c>
      <c r="C10" s="6">
        <v>0.7</v>
      </c>
      <c r="D10" s="6">
        <v>0.6</v>
      </c>
      <c r="E10" s="6">
        <v>0.6</v>
      </c>
      <c r="F10" s="26"/>
      <c r="G10" s="26"/>
      <c r="H10" s="26"/>
      <c r="I10" s="26"/>
      <c r="J10" s="26"/>
    </row>
    <row r="11" spans="1:10" x14ac:dyDescent="0.25">
      <c r="A11" s="5" t="s">
        <v>27</v>
      </c>
      <c r="B11" s="5" t="s">
        <v>19</v>
      </c>
      <c r="C11" s="6">
        <v>0.66</v>
      </c>
      <c r="D11" s="6">
        <v>0.6</v>
      </c>
      <c r="E11" s="6">
        <v>0.6</v>
      </c>
      <c r="F11" s="26"/>
      <c r="G11" s="26"/>
      <c r="H11" s="26"/>
      <c r="I11" s="26"/>
      <c r="J11" s="26"/>
    </row>
    <row r="12" spans="1:10" x14ac:dyDescent="0.25">
      <c r="A12" s="27" t="s">
        <v>28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0" x14ac:dyDescent="0.25">
      <c r="A13" s="7" t="s">
        <v>29</v>
      </c>
      <c r="B13" s="7" t="s">
        <v>19</v>
      </c>
      <c r="C13" s="8">
        <v>0.6</v>
      </c>
      <c r="D13" s="8">
        <v>0.6</v>
      </c>
      <c r="E13" s="8">
        <v>0.6</v>
      </c>
      <c r="F13" s="26">
        <v>500</v>
      </c>
      <c r="G13" s="26">
        <v>0</v>
      </c>
      <c r="H13" s="26">
        <v>500</v>
      </c>
      <c r="I13" s="26">
        <f>(I9)-(F13)+(G13)</f>
        <v>886.5</v>
      </c>
      <c r="J13" s="26">
        <v>0</v>
      </c>
    </row>
    <row r="14" spans="1:10" x14ac:dyDescent="0.25">
      <c r="A14" s="5" t="s">
        <v>30</v>
      </c>
      <c r="B14" s="5" t="s">
        <v>31</v>
      </c>
      <c r="C14" s="6">
        <v>0.7</v>
      </c>
      <c r="D14" s="6">
        <v>0.6</v>
      </c>
      <c r="E14" s="6">
        <v>0.8</v>
      </c>
      <c r="F14" s="26"/>
      <c r="G14" s="26"/>
      <c r="H14" s="26"/>
      <c r="I14" s="26"/>
      <c r="J14" s="26"/>
    </row>
    <row r="15" spans="1:10" x14ac:dyDescent="0.25">
      <c r="A15" s="5" t="s">
        <v>32</v>
      </c>
      <c r="B15" s="5" t="s">
        <v>33</v>
      </c>
      <c r="C15" s="6" t="s">
        <v>8</v>
      </c>
      <c r="D15" s="6" t="s">
        <v>8</v>
      </c>
      <c r="E15" s="6" t="s">
        <v>8</v>
      </c>
      <c r="F15" s="26"/>
      <c r="G15" s="26"/>
      <c r="H15" s="26"/>
      <c r="I15" s="26"/>
      <c r="J15" s="26"/>
    </row>
    <row r="16" spans="1:10" x14ac:dyDescent="0.25">
      <c r="A16" s="25" t="s">
        <v>28</v>
      </c>
      <c r="B16" s="25"/>
      <c r="C16" s="25"/>
      <c r="D16" s="25"/>
      <c r="E16" s="25"/>
      <c r="F16" s="25"/>
      <c r="G16" s="25"/>
      <c r="H16" s="25"/>
      <c r="I16" s="25"/>
      <c r="J16" s="25"/>
    </row>
    <row r="17" spans="1:10" x14ac:dyDescent="0.25">
      <c r="A17" s="5" t="s">
        <v>34</v>
      </c>
      <c r="B17" s="5" t="s">
        <v>19</v>
      </c>
      <c r="C17" s="6" t="s">
        <v>8</v>
      </c>
      <c r="D17" s="6" t="s">
        <v>8</v>
      </c>
      <c r="E17" s="6" t="s">
        <v>8</v>
      </c>
      <c r="F17" s="26">
        <v>886.5</v>
      </c>
      <c r="G17" s="26">
        <v>1365.24</v>
      </c>
      <c r="H17" s="26">
        <v>0</v>
      </c>
      <c r="I17" s="26">
        <f>(I13)-(F17)+(G17)-J17</f>
        <v>1365.24</v>
      </c>
      <c r="J17" s="26">
        <v>0</v>
      </c>
    </row>
    <row r="18" spans="1:10" x14ac:dyDescent="0.25">
      <c r="A18" s="5" t="s">
        <v>35</v>
      </c>
      <c r="B18" s="5" t="s">
        <v>36</v>
      </c>
      <c r="C18" s="6" t="s">
        <v>8</v>
      </c>
      <c r="D18" s="6" t="s">
        <v>8</v>
      </c>
      <c r="E18" s="6" t="s">
        <v>8</v>
      </c>
      <c r="F18" s="26"/>
      <c r="G18" s="26"/>
      <c r="H18" s="26"/>
      <c r="I18" s="26"/>
      <c r="J18" s="26"/>
    </row>
    <row r="19" spans="1:10" x14ac:dyDescent="0.25">
      <c r="A19" s="5" t="s">
        <v>37</v>
      </c>
      <c r="B19" s="5" t="s">
        <v>38</v>
      </c>
      <c r="C19" s="6" t="s">
        <v>8</v>
      </c>
      <c r="D19" s="6" t="s">
        <v>8</v>
      </c>
      <c r="E19" s="6" t="s">
        <v>8</v>
      </c>
      <c r="F19" s="26"/>
      <c r="G19" s="26"/>
      <c r="H19" s="26"/>
      <c r="I19" s="26"/>
      <c r="J19" s="26"/>
    </row>
    <row r="20" spans="1:10" x14ac:dyDescent="0.25">
      <c r="A20" s="25" t="s">
        <v>45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A21" s="5" t="s">
        <v>47</v>
      </c>
      <c r="B21" s="5" t="s">
        <v>51</v>
      </c>
      <c r="C21" s="6" t="s">
        <v>8</v>
      </c>
      <c r="D21" s="6" t="s">
        <v>8</v>
      </c>
      <c r="E21" s="6" t="s">
        <v>8</v>
      </c>
      <c r="F21" s="26">
        <v>182.62</v>
      </c>
      <c r="G21" s="26">
        <v>335.75</v>
      </c>
      <c r="H21" s="26">
        <v>0</v>
      </c>
      <c r="I21" s="26">
        <f>(I17)-(F21)+(G21)</f>
        <v>1518.37</v>
      </c>
      <c r="J21" s="26">
        <v>0</v>
      </c>
    </row>
    <row r="22" spans="1:10" x14ac:dyDescent="0.25">
      <c r="A22" s="5" t="s">
        <v>48</v>
      </c>
      <c r="B22" s="5" t="s">
        <v>19</v>
      </c>
      <c r="C22" s="6" t="s">
        <v>8</v>
      </c>
      <c r="D22" s="6" t="s">
        <v>8</v>
      </c>
      <c r="E22" s="6" t="s">
        <v>8</v>
      </c>
      <c r="F22" s="26"/>
      <c r="G22" s="26"/>
      <c r="H22" s="26"/>
      <c r="I22" s="26"/>
      <c r="J22" s="26"/>
    </row>
    <row r="23" spans="1:10" x14ac:dyDescent="0.25">
      <c r="A23" s="25" t="s">
        <v>45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x14ac:dyDescent="0.25">
      <c r="A24" s="5" t="s">
        <v>49</v>
      </c>
      <c r="B24" s="5" t="s">
        <v>52</v>
      </c>
      <c r="C24" s="6" t="s">
        <v>8</v>
      </c>
      <c r="D24" s="6" t="s">
        <v>8</v>
      </c>
      <c r="E24" s="6" t="s">
        <v>8</v>
      </c>
      <c r="F24" s="26">
        <v>182.62</v>
      </c>
      <c r="G24" s="26">
        <v>0</v>
      </c>
      <c r="H24" s="26">
        <v>182.62</v>
      </c>
      <c r="I24" s="26">
        <f>(I21)-(F24)+(G24)</f>
        <v>1335.75</v>
      </c>
      <c r="J24" s="26">
        <v>0</v>
      </c>
    </row>
    <row r="25" spans="1:10" x14ac:dyDescent="0.25">
      <c r="A25" s="7" t="s">
        <v>50</v>
      </c>
      <c r="B25" s="7" t="s">
        <v>19</v>
      </c>
      <c r="C25" s="8" t="s">
        <v>8</v>
      </c>
      <c r="D25" s="8" t="s">
        <v>8</v>
      </c>
      <c r="E25" s="8" t="s">
        <v>8</v>
      </c>
      <c r="F25" s="26"/>
      <c r="G25" s="26"/>
      <c r="H25" s="26"/>
      <c r="I25" s="26"/>
      <c r="J25" s="26"/>
    </row>
    <row r="26" spans="1:10" x14ac:dyDescent="0.25">
      <c r="A26" s="25" t="s">
        <v>68</v>
      </c>
      <c r="B26" s="25"/>
      <c r="C26" s="25"/>
      <c r="D26" s="25"/>
      <c r="E26" s="25"/>
      <c r="F26" s="25"/>
      <c r="G26" s="25"/>
      <c r="H26" s="25"/>
      <c r="I26" s="25"/>
      <c r="J26" s="25"/>
    </row>
    <row r="27" spans="1:10" x14ac:dyDescent="0.25">
      <c r="A27" s="5" t="s">
        <v>58</v>
      </c>
      <c r="B27" s="5" t="s">
        <v>65</v>
      </c>
      <c r="C27" s="6" t="s">
        <v>8</v>
      </c>
      <c r="D27" s="6" t="s">
        <v>8</v>
      </c>
      <c r="E27" s="6" t="s">
        <v>8</v>
      </c>
      <c r="F27" s="26">
        <v>15.37</v>
      </c>
      <c r="G27" s="26">
        <v>28.35</v>
      </c>
      <c r="H27" s="26">
        <v>0</v>
      </c>
      <c r="I27" s="26">
        <f>(I24)-(F27)+(G27)</f>
        <v>1348.73</v>
      </c>
      <c r="J27" s="26">
        <v>0</v>
      </c>
    </row>
    <row r="28" spans="1:10" x14ac:dyDescent="0.25">
      <c r="A28" s="10" t="s">
        <v>60</v>
      </c>
      <c r="B28" s="5" t="s">
        <v>66</v>
      </c>
      <c r="C28" s="6" t="s">
        <v>8</v>
      </c>
      <c r="D28" s="6" t="s">
        <v>8</v>
      </c>
      <c r="E28" s="6" t="s">
        <v>8</v>
      </c>
      <c r="F28" s="26"/>
      <c r="G28" s="26"/>
      <c r="H28" s="26"/>
      <c r="I28" s="26"/>
      <c r="J28" s="26"/>
    </row>
    <row r="29" spans="1:10" x14ac:dyDescent="0.25">
      <c r="A29" s="5" t="s">
        <v>59</v>
      </c>
      <c r="B29" s="5" t="s">
        <v>67</v>
      </c>
      <c r="C29" s="6" t="s">
        <v>8</v>
      </c>
      <c r="D29" s="6" t="s">
        <v>8</v>
      </c>
      <c r="E29" s="6" t="s">
        <v>8</v>
      </c>
      <c r="F29" s="26"/>
      <c r="G29" s="26"/>
      <c r="H29" s="26"/>
      <c r="I29" s="26"/>
      <c r="J29" s="26"/>
    </row>
    <row r="30" spans="1:10" x14ac:dyDescent="0.25">
      <c r="A30" s="25" t="s">
        <v>68</v>
      </c>
      <c r="B30" s="25"/>
      <c r="C30" s="25"/>
      <c r="D30" s="25"/>
      <c r="E30" s="25"/>
      <c r="F30" s="25"/>
      <c r="G30" s="25"/>
      <c r="H30" s="25"/>
      <c r="I30" s="25"/>
      <c r="J30" s="25"/>
    </row>
    <row r="31" spans="1:10" x14ac:dyDescent="0.25">
      <c r="A31" s="7" t="s">
        <v>61</v>
      </c>
      <c r="B31" s="7" t="s">
        <v>19</v>
      </c>
      <c r="C31" s="8" t="s">
        <v>8</v>
      </c>
      <c r="D31" s="8" t="s">
        <v>8</v>
      </c>
      <c r="E31" s="8" t="s">
        <v>8</v>
      </c>
      <c r="F31" s="26">
        <v>15.37</v>
      </c>
      <c r="G31" s="26">
        <v>0</v>
      </c>
      <c r="H31" s="26">
        <v>15.37</v>
      </c>
      <c r="I31" s="26">
        <f>(I27)-(F31)+(G31)</f>
        <v>1333.3600000000001</v>
      </c>
      <c r="J31" s="26">
        <v>0</v>
      </c>
    </row>
    <row r="32" spans="1:10" x14ac:dyDescent="0.25">
      <c r="A32" s="5" t="s">
        <v>62</v>
      </c>
      <c r="B32" s="5" t="s">
        <v>67</v>
      </c>
      <c r="C32" s="6" t="s">
        <v>8</v>
      </c>
      <c r="D32" s="6" t="s">
        <v>8</v>
      </c>
      <c r="E32" s="6" t="s">
        <v>8</v>
      </c>
      <c r="F32" s="26"/>
      <c r="G32" s="26"/>
      <c r="H32" s="26"/>
      <c r="I32" s="26"/>
      <c r="J32" s="26"/>
    </row>
    <row r="33" spans="1:16" x14ac:dyDescent="0.25">
      <c r="A33" s="5" t="s">
        <v>63</v>
      </c>
      <c r="B33" s="5" t="s">
        <v>67</v>
      </c>
      <c r="C33" s="6" t="s">
        <v>8</v>
      </c>
      <c r="D33" s="6" t="s">
        <v>8</v>
      </c>
      <c r="E33" s="6" t="s">
        <v>8</v>
      </c>
      <c r="F33" s="26"/>
      <c r="G33" s="26"/>
      <c r="H33" s="26"/>
      <c r="I33" s="26"/>
      <c r="J33" s="26"/>
    </row>
    <row r="34" spans="1:16" x14ac:dyDescent="0.25">
      <c r="A34" s="5" t="s">
        <v>64</v>
      </c>
      <c r="B34" s="5" t="s">
        <v>19</v>
      </c>
      <c r="C34" s="6" t="s">
        <v>8</v>
      </c>
      <c r="D34" s="6" t="s">
        <v>8</v>
      </c>
      <c r="E34" s="6" t="s">
        <v>8</v>
      </c>
      <c r="F34" s="26"/>
      <c r="G34" s="26"/>
      <c r="H34" s="26"/>
      <c r="I34" s="26"/>
      <c r="J34" s="26"/>
    </row>
    <row r="35" spans="1:16" x14ac:dyDescent="0.25">
      <c r="A35" s="25" t="s">
        <v>57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6" x14ac:dyDescent="0.25">
      <c r="A36" s="5" t="s">
        <v>69</v>
      </c>
      <c r="B36" s="5" t="s">
        <v>77</v>
      </c>
      <c r="C36" s="6" t="s">
        <v>8</v>
      </c>
      <c r="D36" s="6" t="s">
        <v>8</v>
      </c>
      <c r="E36" s="6" t="s">
        <v>8</v>
      </c>
      <c r="F36" s="26">
        <v>330.38</v>
      </c>
      <c r="G36" s="26">
        <v>743.43</v>
      </c>
      <c r="H36" s="26">
        <v>0</v>
      </c>
      <c r="I36" s="26">
        <f>(I31)-(F36)+(G36)</f>
        <v>1746.41</v>
      </c>
      <c r="J36" s="26">
        <v>0</v>
      </c>
    </row>
    <row r="37" spans="1:16" ht="16.5" customHeight="1" x14ac:dyDescent="0.35">
      <c r="A37" s="5" t="s">
        <v>70</v>
      </c>
      <c r="B37" s="5" t="s">
        <v>78</v>
      </c>
      <c r="C37" s="6" t="s">
        <v>8</v>
      </c>
      <c r="D37" s="6" t="s">
        <v>8</v>
      </c>
      <c r="E37" s="6" t="s">
        <v>8</v>
      </c>
      <c r="F37" s="26"/>
      <c r="G37" s="26"/>
      <c r="H37" s="26"/>
      <c r="I37" s="26"/>
      <c r="J37" s="26"/>
      <c r="K37" s="9"/>
    </row>
    <row r="38" spans="1:16" x14ac:dyDescent="0.25">
      <c r="A38" s="5" t="s">
        <v>71</v>
      </c>
      <c r="B38" s="5" t="s">
        <v>79</v>
      </c>
      <c r="C38" s="6" t="s">
        <v>8</v>
      </c>
      <c r="D38" s="6" t="s">
        <v>8</v>
      </c>
      <c r="E38" s="6" t="s">
        <v>8</v>
      </c>
      <c r="F38" s="26"/>
      <c r="G38" s="26"/>
      <c r="H38" s="26"/>
      <c r="I38" s="26"/>
      <c r="J38" s="26"/>
    </row>
    <row r="39" spans="1:16" x14ac:dyDescent="0.25">
      <c r="A39" s="25" t="s">
        <v>57</v>
      </c>
      <c r="B39" s="25"/>
      <c r="C39" s="25"/>
      <c r="D39" s="25"/>
      <c r="E39" s="25"/>
      <c r="F39" s="25"/>
      <c r="G39" s="25"/>
      <c r="H39" s="25"/>
      <c r="I39" s="25"/>
      <c r="J39" s="25"/>
    </row>
    <row r="40" spans="1:16" x14ac:dyDescent="0.25">
      <c r="A40" s="5" t="s">
        <v>80</v>
      </c>
      <c r="B40" s="5" t="s">
        <v>19</v>
      </c>
      <c r="C40" s="6" t="s">
        <v>8</v>
      </c>
      <c r="D40" s="6" t="s">
        <v>8</v>
      </c>
      <c r="E40" s="6" t="s">
        <v>8</v>
      </c>
      <c r="F40" s="26">
        <v>330.38</v>
      </c>
      <c r="G40" s="26">
        <v>507.71</v>
      </c>
      <c r="H40" s="26">
        <v>0</v>
      </c>
      <c r="I40" s="26">
        <f>(I36)-(F40)+(G40)</f>
        <v>1923.7400000000002</v>
      </c>
      <c r="J40" s="26">
        <v>0</v>
      </c>
    </row>
    <row r="41" spans="1:16" ht="18" customHeight="1" x14ac:dyDescent="0.35">
      <c r="A41" s="5" t="s">
        <v>72</v>
      </c>
      <c r="B41" s="5" t="s">
        <v>81</v>
      </c>
      <c r="C41" s="6" t="s">
        <v>8</v>
      </c>
      <c r="D41" s="6" t="s">
        <v>8</v>
      </c>
      <c r="E41" s="6" t="s">
        <v>8</v>
      </c>
      <c r="F41" s="26"/>
      <c r="G41" s="26"/>
      <c r="H41" s="26"/>
      <c r="I41" s="26"/>
      <c r="J41" s="26"/>
      <c r="K41" s="9"/>
    </row>
    <row r="42" spans="1:16" x14ac:dyDescent="0.25">
      <c r="A42" s="5" t="s">
        <v>73</v>
      </c>
      <c r="B42" s="5" t="s">
        <v>82</v>
      </c>
      <c r="C42" s="6" t="s">
        <v>8</v>
      </c>
      <c r="D42" s="6" t="s">
        <v>8</v>
      </c>
      <c r="E42" s="6" t="s">
        <v>8</v>
      </c>
      <c r="F42" s="26"/>
      <c r="G42" s="26"/>
      <c r="H42" s="26"/>
      <c r="I42" s="26"/>
      <c r="J42" s="26"/>
    </row>
    <row r="43" spans="1:16" x14ac:dyDescent="0.25">
      <c r="A43" s="25" t="s">
        <v>57</v>
      </c>
      <c r="B43" s="25"/>
      <c r="C43" s="25"/>
      <c r="D43" s="25"/>
      <c r="E43" s="25"/>
      <c r="F43" s="25"/>
      <c r="G43" s="25"/>
      <c r="H43" s="25"/>
      <c r="I43" s="25"/>
      <c r="J43" s="25"/>
    </row>
    <row r="44" spans="1:16" x14ac:dyDescent="0.25">
      <c r="A44" s="5" t="s">
        <v>74</v>
      </c>
      <c r="B44" s="5" t="s">
        <v>19</v>
      </c>
      <c r="C44" s="6" t="s">
        <v>8</v>
      </c>
      <c r="D44" s="6" t="s">
        <v>8</v>
      </c>
      <c r="E44" s="6" t="s">
        <v>8</v>
      </c>
      <c r="F44" s="26">
        <v>500</v>
      </c>
      <c r="G44" s="26">
        <v>873.53</v>
      </c>
      <c r="H44" s="26">
        <v>0</v>
      </c>
      <c r="I44" s="26">
        <f>(I40)-(F44)+(G44)</f>
        <v>2297.2700000000004</v>
      </c>
      <c r="J44" s="26">
        <v>0</v>
      </c>
    </row>
    <row r="45" spans="1:16" x14ac:dyDescent="0.25">
      <c r="A45" s="5" t="s">
        <v>75</v>
      </c>
      <c r="B45" s="5" t="s">
        <v>19</v>
      </c>
      <c r="C45" s="6" t="s">
        <v>8</v>
      </c>
      <c r="D45" s="6" t="s">
        <v>8</v>
      </c>
      <c r="E45" s="6" t="s">
        <v>8</v>
      </c>
      <c r="F45" s="26"/>
      <c r="G45" s="26"/>
      <c r="H45" s="26"/>
      <c r="I45" s="26"/>
      <c r="J45" s="26"/>
    </row>
    <row r="46" spans="1:16" x14ac:dyDescent="0.25">
      <c r="A46" s="5" t="s">
        <v>76</v>
      </c>
      <c r="B46" s="5" t="s">
        <v>83</v>
      </c>
      <c r="C46" s="6" t="s">
        <v>8</v>
      </c>
      <c r="D46" s="6" t="s">
        <v>8</v>
      </c>
      <c r="E46" s="6" t="s">
        <v>8</v>
      </c>
      <c r="F46" s="26"/>
      <c r="G46" s="26"/>
      <c r="H46" s="26"/>
      <c r="I46" s="26"/>
      <c r="J46" s="26"/>
    </row>
    <row r="47" spans="1:16" x14ac:dyDescent="0.25">
      <c r="A47" s="25" t="s">
        <v>84</v>
      </c>
      <c r="B47" s="25"/>
      <c r="C47" s="25"/>
      <c r="D47" s="25"/>
      <c r="E47" s="25"/>
      <c r="F47" s="25"/>
      <c r="G47" s="25"/>
      <c r="H47" s="25"/>
      <c r="I47" s="25"/>
      <c r="J47" s="25"/>
      <c r="M47" s="32" t="s">
        <v>92</v>
      </c>
      <c r="N47" s="32"/>
      <c r="O47" s="32"/>
      <c r="P47" s="32"/>
    </row>
    <row r="48" spans="1:16" x14ac:dyDescent="0.25">
      <c r="A48" s="5" t="s">
        <v>89</v>
      </c>
      <c r="B48" s="5" t="s">
        <v>82</v>
      </c>
      <c r="C48" s="6" t="s">
        <v>8</v>
      </c>
      <c r="D48" s="6" t="s">
        <v>8</v>
      </c>
      <c r="E48" s="6" t="s">
        <v>8</v>
      </c>
      <c r="F48" s="26">
        <v>500</v>
      </c>
      <c r="G48" s="26">
        <v>836</v>
      </c>
      <c r="H48" s="26">
        <v>0</v>
      </c>
      <c r="I48" s="26">
        <f>(I44)-(F48)+(G48)</f>
        <v>2633.2700000000004</v>
      </c>
      <c r="J48" s="26">
        <v>0</v>
      </c>
      <c r="M48" s="32" t="s">
        <v>43</v>
      </c>
      <c r="N48" s="32"/>
      <c r="O48" s="32"/>
      <c r="P48" s="32"/>
    </row>
    <row r="49" spans="1:16" x14ac:dyDescent="0.25">
      <c r="A49" s="5" t="s">
        <v>86</v>
      </c>
      <c r="B49" s="5" t="s">
        <v>19</v>
      </c>
      <c r="C49" s="6" t="s">
        <v>8</v>
      </c>
      <c r="D49" s="6" t="s">
        <v>8</v>
      </c>
      <c r="E49" s="6" t="s">
        <v>8</v>
      </c>
      <c r="F49" s="26"/>
      <c r="G49" s="26"/>
      <c r="H49" s="26"/>
      <c r="I49" s="26"/>
      <c r="J49" s="26"/>
      <c r="M49" s="41" t="s">
        <v>44</v>
      </c>
      <c r="N49" s="41"/>
      <c r="O49" s="41"/>
      <c r="P49" s="41"/>
    </row>
    <row r="50" spans="1:16" x14ac:dyDescent="0.25">
      <c r="A50" s="25" t="s">
        <v>84</v>
      </c>
      <c r="B50" s="25"/>
      <c r="C50" s="25"/>
      <c r="D50" s="25"/>
      <c r="E50" s="25"/>
      <c r="F50" s="25"/>
      <c r="G50" s="25"/>
      <c r="H50" s="25"/>
      <c r="I50" s="25"/>
      <c r="J50" s="25"/>
      <c r="M50" s="40" t="s">
        <v>53</v>
      </c>
      <c r="N50" s="39" t="s">
        <v>54</v>
      </c>
      <c r="O50" s="36" t="s">
        <v>55</v>
      </c>
      <c r="P50" s="34" t="s">
        <v>56</v>
      </c>
    </row>
    <row r="51" spans="1:16" x14ac:dyDescent="0.25">
      <c r="A51" s="5" t="s">
        <v>88</v>
      </c>
      <c r="B51" s="5" t="s">
        <v>38</v>
      </c>
      <c r="C51" s="6" t="s">
        <v>8</v>
      </c>
      <c r="D51" s="6" t="s">
        <v>8</v>
      </c>
      <c r="E51" s="6" t="s">
        <v>8</v>
      </c>
      <c r="F51" s="26">
        <v>500</v>
      </c>
      <c r="G51" s="26">
        <v>722.21</v>
      </c>
      <c r="H51" s="26">
        <v>0</v>
      </c>
      <c r="I51" s="26">
        <f>(I48)-(F51)+(G51)</f>
        <v>2855.4800000000005</v>
      </c>
      <c r="J51" s="26">
        <v>0</v>
      </c>
      <c r="M51" s="40"/>
      <c r="N51" s="39"/>
      <c r="O51" s="36"/>
      <c r="P51" s="34"/>
    </row>
    <row r="52" spans="1:16" x14ac:dyDescent="0.25">
      <c r="A52" s="5" t="s">
        <v>87</v>
      </c>
      <c r="B52" s="5" t="s">
        <v>52</v>
      </c>
      <c r="C52" s="6" t="s">
        <v>8</v>
      </c>
      <c r="D52" s="6" t="s">
        <v>8</v>
      </c>
      <c r="E52" s="6" t="s">
        <v>8</v>
      </c>
      <c r="F52" s="26"/>
      <c r="G52" s="26"/>
      <c r="H52" s="26"/>
      <c r="I52" s="26"/>
      <c r="J52" s="26"/>
      <c r="M52" s="38">
        <f>F2+F9+F13+F17+F21+F24+F27+F31+F36+F40+F44+F48+F51+F54</f>
        <v>4946.4400000000005</v>
      </c>
      <c r="N52" s="37">
        <f>G2+G9+G13+G17+G21+G24+G27+G31+G36+G40+G44+G48+G51+G54</f>
        <v>7098.7599999999993</v>
      </c>
      <c r="O52" s="35">
        <f>H2+H9+H13+H17+H21+H24+H27+H31+H40+H44+H48+H51+H54+H36</f>
        <v>701.18999999999994</v>
      </c>
      <c r="P52" s="33">
        <f>N52-M52-J17</f>
        <v>2152.3199999999988</v>
      </c>
    </row>
    <row r="53" spans="1:16" x14ac:dyDescent="0.25">
      <c r="A53" s="25" t="s">
        <v>84</v>
      </c>
      <c r="B53" s="25"/>
      <c r="C53" s="25"/>
      <c r="D53" s="25"/>
      <c r="E53" s="25"/>
      <c r="F53" s="25"/>
      <c r="G53" s="25"/>
      <c r="H53" s="25"/>
      <c r="I53" s="25"/>
      <c r="J53" s="25"/>
      <c r="M53" s="38"/>
      <c r="N53" s="37"/>
      <c r="O53" s="35"/>
      <c r="P53" s="33"/>
    </row>
    <row r="54" spans="1:16" ht="15" customHeight="1" x14ac:dyDescent="0.25">
      <c r="A54" s="5" t="s">
        <v>85</v>
      </c>
      <c r="B54" s="5" t="s">
        <v>82</v>
      </c>
      <c r="C54" s="6" t="s">
        <v>8</v>
      </c>
      <c r="D54" s="6" t="s">
        <v>8</v>
      </c>
      <c r="E54" s="6" t="s">
        <v>8</v>
      </c>
      <c r="F54" s="26">
        <v>500</v>
      </c>
      <c r="G54" s="26">
        <v>800.04</v>
      </c>
      <c r="H54" s="26">
        <v>0</v>
      </c>
      <c r="I54" s="26">
        <f>(I51)-(F54)+(G54)</f>
        <v>3155.5200000000004</v>
      </c>
      <c r="J54" s="26">
        <v>0</v>
      </c>
      <c r="M54" s="31">
        <f>M52/384.33</f>
        <v>12.870293757968414</v>
      </c>
      <c r="N54" s="30">
        <f>N52/384.33</f>
        <v>18.470481096973952</v>
      </c>
      <c r="O54" s="29">
        <f>O52/384.33</f>
        <v>1.8244477402232455</v>
      </c>
      <c r="P54" s="28">
        <f>P52/384.33</f>
        <v>5.6001873390055392</v>
      </c>
    </row>
    <row r="55" spans="1:16" ht="15" customHeight="1" x14ac:dyDescent="0.25">
      <c r="A55" s="5" t="s">
        <v>90</v>
      </c>
      <c r="B55" s="5" t="s">
        <v>91</v>
      </c>
      <c r="C55" s="6" t="s">
        <v>8</v>
      </c>
      <c r="D55" s="6" t="s">
        <v>8</v>
      </c>
      <c r="E55" s="6" t="s">
        <v>8</v>
      </c>
      <c r="F55" s="26"/>
      <c r="G55" s="26"/>
      <c r="H55" s="26"/>
      <c r="I55" s="26"/>
      <c r="J55" s="26"/>
      <c r="M55" s="31"/>
      <c r="N55" s="30"/>
      <c r="O55" s="29"/>
      <c r="P55" s="28"/>
    </row>
    <row r="56" spans="1:16" x14ac:dyDescent="0.25">
      <c r="A56" s="25" t="s">
        <v>84</v>
      </c>
      <c r="B56" s="25"/>
      <c r="C56" s="25"/>
      <c r="D56" s="25"/>
      <c r="E56" s="25"/>
      <c r="F56" s="25"/>
      <c r="G56" s="25"/>
      <c r="H56" s="25"/>
      <c r="I56" s="25"/>
      <c r="J56" s="25"/>
    </row>
    <row r="57" spans="1:16" x14ac:dyDescent="0.25">
      <c r="F57" s="24" t="s">
        <v>93</v>
      </c>
      <c r="G57" s="24"/>
      <c r="H57" s="24"/>
      <c r="I57" s="24"/>
      <c r="J57" s="24"/>
    </row>
    <row r="58" spans="1:16" x14ac:dyDescent="0.25">
      <c r="F58" s="24"/>
      <c r="G58" s="24"/>
      <c r="H58" s="24"/>
      <c r="I58" s="24"/>
      <c r="J58" s="24"/>
    </row>
  </sheetData>
  <mergeCells count="100">
    <mergeCell ref="F27:F29"/>
    <mergeCell ref="I31:I34"/>
    <mergeCell ref="I44:I46"/>
    <mergeCell ref="I40:I42"/>
    <mergeCell ref="I36:I38"/>
    <mergeCell ref="A35:J35"/>
    <mergeCell ref="A39:J39"/>
    <mergeCell ref="A43:J43"/>
    <mergeCell ref="F44:F46"/>
    <mergeCell ref="F40:F42"/>
    <mergeCell ref="H44:H46"/>
    <mergeCell ref="H40:H42"/>
    <mergeCell ref="H36:H38"/>
    <mergeCell ref="H31:H34"/>
    <mergeCell ref="G44:G46"/>
    <mergeCell ref="G40:G42"/>
    <mergeCell ref="G24:G25"/>
    <mergeCell ref="J27:J29"/>
    <mergeCell ref="I27:I29"/>
    <mergeCell ref="H27:H29"/>
    <mergeCell ref="G27:G29"/>
    <mergeCell ref="P54:P55"/>
    <mergeCell ref="O54:O55"/>
    <mergeCell ref="N54:N55"/>
    <mergeCell ref="M54:M55"/>
    <mergeCell ref="M47:P47"/>
    <mergeCell ref="M48:P48"/>
    <mergeCell ref="P52:P53"/>
    <mergeCell ref="P50:P51"/>
    <mergeCell ref="O52:O53"/>
    <mergeCell ref="O50:O51"/>
    <mergeCell ref="N52:N53"/>
    <mergeCell ref="M52:M53"/>
    <mergeCell ref="N50:N51"/>
    <mergeCell ref="M50:M51"/>
    <mergeCell ref="M49:P49"/>
    <mergeCell ref="G21:G22"/>
    <mergeCell ref="F24:F25"/>
    <mergeCell ref="F21:F22"/>
    <mergeCell ref="J44:J46"/>
    <mergeCell ref="J40:J42"/>
    <mergeCell ref="J36:J38"/>
    <mergeCell ref="J31:J34"/>
    <mergeCell ref="J21:J22"/>
    <mergeCell ref="I24:I25"/>
    <mergeCell ref="I21:I22"/>
    <mergeCell ref="H24:H25"/>
    <mergeCell ref="H21:H22"/>
    <mergeCell ref="A30:J30"/>
    <mergeCell ref="A23:J23"/>
    <mergeCell ref="A26:J26"/>
    <mergeCell ref="J24:J25"/>
    <mergeCell ref="A20:J20"/>
    <mergeCell ref="J2:J7"/>
    <mergeCell ref="J9:J11"/>
    <mergeCell ref="J13:J15"/>
    <mergeCell ref="J17:J19"/>
    <mergeCell ref="A8:J8"/>
    <mergeCell ref="A12:J12"/>
    <mergeCell ref="A16:J16"/>
    <mergeCell ref="G13:G15"/>
    <mergeCell ref="H13:H15"/>
    <mergeCell ref="I13:I15"/>
    <mergeCell ref="F13:F15"/>
    <mergeCell ref="I17:I19"/>
    <mergeCell ref="H17:H19"/>
    <mergeCell ref="G17:G19"/>
    <mergeCell ref="F17:F19"/>
    <mergeCell ref="I2:I7"/>
    <mergeCell ref="F9:F11"/>
    <mergeCell ref="G9:G11"/>
    <mergeCell ref="H9:H11"/>
    <mergeCell ref="I9:I11"/>
    <mergeCell ref="F2:F7"/>
    <mergeCell ref="G2:G7"/>
    <mergeCell ref="H2:H7"/>
    <mergeCell ref="G36:G38"/>
    <mergeCell ref="G31:G34"/>
    <mergeCell ref="F54:F55"/>
    <mergeCell ref="F51:F52"/>
    <mergeCell ref="F48:F49"/>
    <mergeCell ref="F36:F38"/>
    <mergeCell ref="F31:F34"/>
    <mergeCell ref="A47:J47"/>
    <mergeCell ref="A50:J50"/>
    <mergeCell ref="A53:J53"/>
    <mergeCell ref="F57:J58"/>
    <mergeCell ref="A56:J56"/>
    <mergeCell ref="J54:J55"/>
    <mergeCell ref="J51:J52"/>
    <mergeCell ref="J48:J49"/>
    <mergeCell ref="I54:I55"/>
    <mergeCell ref="I51:I52"/>
    <mergeCell ref="I48:I49"/>
    <mergeCell ref="H54:H55"/>
    <mergeCell ref="H51:H52"/>
    <mergeCell ref="H48:H49"/>
    <mergeCell ref="G54:G55"/>
    <mergeCell ref="G51:G52"/>
    <mergeCell ref="G48:G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tabSelected="1" topLeftCell="A11" zoomScale="147" zoomScaleNormal="130" workbookViewId="0">
      <selection activeCell="B22" sqref="B22"/>
    </sheetView>
  </sheetViews>
  <sheetFormatPr baseColWidth="10" defaultColWidth="11.42578125" defaultRowHeight="15" x14ac:dyDescent="0.25"/>
  <cols>
    <col min="1" max="1" width="30.85546875" style="1" bestFit="1" customWidth="1"/>
    <col min="2" max="2" width="25.28515625" style="1" bestFit="1" customWidth="1"/>
    <col min="3" max="5" width="17.7109375" style="4" bestFit="1" customWidth="1"/>
    <col min="6" max="6" width="12.85546875" style="11" bestFit="1" customWidth="1"/>
    <col min="7" max="9" width="12.28515625" style="11" bestFit="1" customWidth="1"/>
    <col min="10" max="10" width="8.42578125" style="11" bestFit="1" customWidth="1"/>
    <col min="11" max="11" width="7.85546875" style="1" bestFit="1" customWidth="1"/>
    <col min="12" max="12" width="11.42578125" style="1"/>
    <col min="13" max="14" width="12.7109375" style="1" bestFit="1" customWidth="1"/>
    <col min="15" max="15" width="16.85546875" style="1" customWidth="1"/>
    <col min="16" max="16" width="19.28515625" style="1" bestFit="1" customWidth="1"/>
    <col min="17" max="16384" width="11.42578125" style="1"/>
  </cols>
  <sheetData>
    <row r="1" spans="1:16" x14ac:dyDescent="0.25">
      <c r="A1" s="1" t="s">
        <v>1</v>
      </c>
      <c r="B1" s="1" t="s">
        <v>0</v>
      </c>
      <c r="C1" s="4" t="s">
        <v>12</v>
      </c>
      <c r="D1" s="4" t="s">
        <v>13</v>
      </c>
      <c r="E1" s="4" t="s">
        <v>14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46</v>
      </c>
    </row>
    <row r="2" spans="1:16" x14ac:dyDescent="0.25">
      <c r="A2" s="5" t="s">
        <v>95</v>
      </c>
      <c r="B2" s="5" t="s">
        <v>96</v>
      </c>
      <c r="C2" s="6" t="s">
        <v>8</v>
      </c>
      <c r="D2" s="6" t="s">
        <v>8</v>
      </c>
      <c r="E2" s="6" t="s">
        <v>8</v>
      </c>
      <c r="F2" s="26">
        <v>1500</v>
      </c>
      <c r="G2" s="26">
        <v>0</v>
      </c>
      <c r="H2" s="26">
        <v>1500</v>
      </c>
      <c r="I2" s="26">
        <f>3155.52-F2+G2</f>
        <v>1655.52</v>
      </c>
      <c r="J2" s="26">
        <v>0</v>
      </c>
      <c r="K2" s="43"/>
    </row>
    <row r="3" spans="1:16" x14ac:dyDescent="0.25">
      <c r="A3" s="7" t="s">
        <v>97</v>
      </c>
      <c r="B3" s="7" t="s">
        <v>19</v>
      </c>
      <c r="C3" s="8" t="s">
        <v>8</v>
      </c>
      <c r="D3" s="8" t="s">
        <v>8</v>
      </c>
      <c r="E3" s="8" t="s">
        <v>8</v>
      </c>
      <c r="F3" s="26"/>
      <c r="G3" s="26"/>
      <c r="H3" s="26"/>
      <c r="I3" s="26"/>
      <c r="J3" s="26"/>
      <c r="K3" s="43"/>
    </row>
    <row r="4" spans="1:16" x14ac:dyDescent="0.25">
      <c r="A4" s="25" t="s">
        <v>94</v>
      </c>
      <c r="B4" s="25"/>
      <c r="C4" s="25"/>
      <c r="D4" s="25"/>
      <c r="E4" s="25"/>
      <c r="F4" s="25"/>
      <c r="G4" s="25"/>
      <c r="H4" s="25"/>
      <c r="I4" s="25"/>
      <c r="J4" s="25"/>
    </row>
    <row r="5" spans="1:16" x14ac:dyDescent="0.25">
      <c r="A5" s="5" t="s">
        <v>98</v>
      </c>
      <c r="B5" s="5" t="s">
        <v>19</v>
      </c>
      <c r="C5" s="6" t="s">
        <v>8</v>
      </c>
      <c r="D5" s="6" t="s">
        <v>8</v>
      </c>
      <c r="E5" s="6" t="s">
        <v>8</v>
      </c>
      <c r="F5" s="26">
        <v>1500</v>
      </c>
      <c r="G5" s="26">
        <v>1980</v>
      </c>
      <c r="H5" s="26">
        <v>0</v>
      </c>
      <c r="I5" s="26">
        <f>I2-F5+G5</f>
        <v>2135.52</v>
      </c>
      <c r="J5" s="26">
        <v>0</v>
      </c>
      <c r="K5" s="43"/>
    </row>
    <row r="6" spans="1:16" x14ac:dyDescent="0.25">
      <c r="A6" s="5" t="s">
        <v>99</v>
      </c>
      <c r="B6" s="5" t="s">
        <v>19</v>
      </c>
      <c r="C6" s="6" t="s">
        <v>8</v>
      </c>
      <c r="D6" s="6" t="s">
        <v>8</v>
      </c>
      <c r="E6" s="6" t="s">
        <v>8</v>
      </c>
      <c r="F6" s="26"/>
      <c r="G6" s="26"/>
      <c r="H6" s="26"/>
      <c r="I6" s="26"/>
      <c r="J6" s="26"/>
      <c r="K6" s="43"/>
    </row>
    <row r="7" spans="1:16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6" x14ac:dyDescent="0.25">
      <c r="A8" s="5" t="s">
        <v>102</v>
      </c>
      <c r="B8" s="5" t="s">
        <v>19</v>
      </c>
      <c r="C8" s="6" t="s">
        <v>8</v>
      </c>
      <c r="D8" s="6" t="s">
        <v>8</v>
      </c>
      <c r="E8" s="6" t="s">
        <v>8</v>
      </c>
      <c r="F8" s="26">
        <v>1000</v>
      </c>
      <c r="G8" s="26">
        <v>0</v>
      </c>
      <c r="H8" s="26">
        <v>1000</v>
      </c>
      <c r="I8" s="26">
        <f>I5-F8+G8</f>
        <v>1135.52</v>
      </c>
      <c r="J8" s="26">
        <v>0</v>
      </c>
      <c r="K8" s="42"/>
      <c r="M8" s="32" t="s">
        <v>101</v>
      </c>
      <c r="N8" s="32"/>
      <c r="O8" s="32"/>
      <c r="P8" s="32"/>
    </row>
    <row r="9" spans="1:16" x14ac:dyDescent="0.25">
      <c r="A9" s="7" t="s">
        <v>103</v>
      </c>
      <c r="B9" s="7" t="s">
        <v>105</v>
      </c>
      <c r="C9" s="8" t="s">
        <v>8</v>
      </c>
      <c r="D9" s="8" t="s">
        <v>8</v>
      </c>
      <c r="E9" s="8" t="s">
        <v>8</v>
      </c>
      <c r="F9" s="26"/>
      <c r="G9" s="26"/>
      <c r="H9" s="26"/>
      <c r="I9" s="26"/>
      <c r="J9" s="26"/>
      <c r="K9" s="42"/>
      <c r="M9" s="32" t="s">
        <v>100</v>
      </c>
      <c r="N9" s="32"/>
      <c r="O9" s="32"/>
      <c r="P9" s="32"/>
    </row>
    <row r="10" spans="1:16" ht="18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M10" s="15" t="s">
        <v>53</v>
      </c>
      <c r="N10" s="14" t="s">
        <v>54</v>
      </c>
      <c r="O10" s="13" t="s">
        <v>55</v>
      </c>
      <c r="P10" s="12" t="s">
        <v>56</v>
      </c>
    </row>
    <row r="11" spans="1:16" x14ac:dyDescent="0.25">
      <c r="A11" s="5" t="s">
        <v>104</v>
      </c>
      <c r="B11" s="5" t="s">
        <v>106</v>
      </c>
      <c r="C11" s="6" t="s">
        <v>8</v>
      </c>
      <c r="D11" s="6" t="s">
        <v>8</v>
      </c>
      <c r="E11" s="6" t="s">
        <v>8</v>
      </c>
      <c r="F11" s="26">
        <v>1135.52</v>
      </c>
      <c r="G11" s="26">
        <v>1822.32</v>
      </c>
      <c r="H11" s="26">
        <v>0</v>
      </c>
      <c r="I11" s="26">
        <f>I8-F11+G11</f>
        <v>1822.32</v>
      </c>
      <c r="J11" s="26">
        <v>0</v>
      </c>
      <c r="K11" s="42"/>
      <c r="M11" s="38">
        <f>F2+F5+F8+F11+F14+F18+F22+F26+F31+F35+F39+F43+F46+F49</f>
        <v>6935.52</v>
      </c>
      <c r="N11" s="37">
        <f>G2+G5+G8+G11+G14+G18+G22+G26+G31+G35+G39+G43+G46+G49</f>
        <v>3802.3199999999997</v>
      </c>
      <c r="O11" s="35">
        <f>H2+H5+H8+H11+H14+H18+H22+H26+H35+H39+H43+H46+H49+H31</f>
        <v>2500</v>
      </c>
      <c r="P11" s="33">
        <f>N11-M11-O11</f>
        <v>-5633.2000000000007</v>
      </c>
    </row>
    <row r="12" spans="1:16" x14ac:dyDescent="0.25">
      <c r="A12" s="5" t="s">
        <v>119</v>
      </c>
      <c r="B12" s="5" t="s">
        <v>19</v>
      </c>
      <c r="C12" s="6" t="s">
        <v>8</v>
      </c>
      <c r="D12" s="6" t="s">
        <v>8</v>
      </c>
      <c r="E12" s="6" t="s">
        <v>8</v>
      </c>
      <c r="F12" s="26"/>
      <c r="G12" s="26"/>
      <c r="H12" s="26"/>
      <c r="I12" s="26"/>
      <c r="J12" s="26"/>
      <c r="K12" s="42"/>
      <c r="M12" s="38"/>
      <c r="N12" s="37"/>
      <c r="O12" s="35"/>
      <c r="P12" s="33"/>
    </row>
    <row r="13" spans="1:1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M13" s="31">
        <f>M11/384.33</f>
        <v>18.045741940519868</v>
      </c>
      <c r="N13" s="30">
        <f>N11/384.33</f>
        <v>9.893372882678948</v>
      </c>
      <c r="O13" s="29">
        <f>O11/384.33</f>
        <v>6.5048265813233419</v>
      </c>
      <c r="P13" s="28">
        <f>P11/384.33</f>
        <v>-14.657195639164263</v>
      </c>
    </row>
    <row r="14" spans="1:16" x14ac:dyDescent="0.25">
      <c r="A14" s="16" t="s">
        <v>107</v>
      </c>
      <c r="B14" s="16" t="s">
        <v>19</v>
      </c>
      <c r="C14" s="17"/>
      <c r="D14" s="17"/>
      <c r="E14" s="17"/>
      <c r="F14" s="26">
        <v>500</v>
      </c>
      <c r="G14" s="26">
        <v>0</v>
      </c>
      <c r="H14" s="26">
        <v>0</v>
      </c>
      <c r="I14" s="26">
        <f>I11-F14+G14</f>
        <v>1322.32</v>
      </c>
      <c r="J14" s="26">
        <v>0</v>
      </c>
      <c r="M14" s="31"/>
      <c r="N14" s="30"/>
      <c r="O14" s="29"/>
      <c r="P14" s="28"/>
    </row>
    <row r="15" spans="1:16" s="19" customFormat="1" ht="18" x14ac:dyDescent="0.25">
      <c r="A15" s="16" t="s">
        <v>109</v>
      </c>
      <c r="B15" s="16" t="s">
        <v>19</v>
      </c>
      <c r="C15" s="17"/>
      <c r="D15" s="17"/>
      <c r="E15" s="17"/>
      <c r="F15" s="26"/>
      <c r="G15" s="26"/>
      <c r="H15" s="26"/>
      <c r="I15" s="26"/>
      <c r="J15" s="26"/>
      <c r="M15" s="20"/>
      <c r="N15" s="21"/>
      <c r="O15" s="22"/>
      <c r="P15" s="23"/>
    </row>
    <row r="16" spans="1:16" x14ac:dyDescent="0.25">
      <c r="A16" s="16" t="s">
        <v>108</v>
      </c>
      <c r="B16" s="16" t="s">
        <v>19</v>
      </c>
      <c r="C16" s="17"/>
      <c r="D16" s="17"/>
      <c r="E16" s="17"/>
      <c r="F16" s="26"/>
      <c r="G16" s="26"/>
      <c r="H16" s="26"/>
      <c r="I16" s="26"/>
      <c r="J16" s="26"/>
    </row>
    <row r="17" spans="1:1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1" x14ac:dyDescent="0.25">
      <c r="A18" s="1" t="s">
        <v>110</v>
      </c>
      <c r="B18" s="16" t="s">
        <v>19</v>
      </c>
      <c r="C18" s="17"/>
      <c r="D18" s="17"/>
      <c r="E18" s="17"/>
      <c r="F18" s="26">
        <v>500</v>
      </c>
      <c r="G18" s="26">
        <v>0</v>
      </c>
      <c r="H18" s="26">
        <v>0</v>
      </c>
      <c r="I18" s="26">
        <f>I14-F18+G18</f>
        <v>822.31999999999994</v>
      </c>
      <c r="J18" s="26">
        <v>0</v>
      </c>
    </row>
    <row r="19" spans="1:11" s="19" customFormat="1" x14ac:dyDescent="0.25">
      <c r="A19" s="19" t="s">
        <v>111</v>
      </c>
      <c r="B19" s="16" t="s">
        <v>120</v>
      </c>
      <c r="C19" s="17"/>
      <c r="D19" s="17"/>
      <c r="E19" s="17"/>
      <c r="F19" s="26"/>
      <c r="G19" s="26"/>
      <c r="H19" s="26"/>
      <c r="I19" s="26"/>
      <c r="J19" s="26"/>
    </row>
    <row r="20" spans="1:11" x14ac:dyDescent="0.25">
      <c r="A20" s="16" t="s">
        <v>112</v>
      </c>
      <c r="B20" s="16" t="s">
        <v>19</v>
      </c>
      <c r="C20" s="17"/>
      <c r="D20" s="17"/>
      <c r="E20" s="17"/>
      <c r="F20" s="26"/>
      <c r="G20" s="26"/>
      <c r="H20" s="26"/>
      <c r="I20" s="26"/>
      <c r="J20" s="26"/>
    </row>
    <row r="21" spans="1:1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spans="1:11" x14ac:dyDescent="0.25">
      <c r="A22" s="16" t="s">
        <v>113</v>
      </c>
      <c r="B22" s="16" t="s">
        <v>115</v>
      </c>
      <c r="C22" s="17"/>
      <c r="D22" s="17"/>
      <c r="E22" s="17"/>
      <c r="F22" s="26">
        <v>500</v>
      </c>
      <c r="G22" s="26">
        <v>0</v>
      </c>
      <c r="H22" s="26">
        <v>0</v>
      </c>
      <c r="I22" s="26">
        <f>I18-F22+G22</f>
        <v>322.31999999999994</v>
      </c>
      <c r="J22" s="26">
        <v>0</v>
      </c>
    </row>
    <row r="23" spans="1:11" x14ac:dyDescent="0.25">
      <c r="A23" s="18" t="s">
        <v>116</v>
      </c>
      <c r="B23" s="16" t="s">
        <v>117</v>
      </c>
      <c r="C23" s="17"/>
      <c r="D23" s="17"/>
      <c r="E23" s="17"/>
      <c r="F23" s="26"/>
      <c r="G23" s="26"/>
      <c r="H23" s="26"/>
      <c r="I23" s="26"/>
      <c r="J23" s="26"/>
    </row>
    <row r="24" spans="1:11" x14ac:dyDescent="0.25">
      <c r="A24" s="16" t="s">
        <v>114</v>
      </c>
      <c r="B24" s="16" t="s">
        <v>118</v>
      </c>
      <c r="C24" s="17"/>
      <c r="D24" s="17"/>
      <c r="E24" s="17"/>
      <c r="F24" s="26"/>
      <c r="G24" s="26"/>
      <c r="H24" s="26"/>
      <c r="I24" s="26"/>
      <c r="J24" s="26"/>
    </row>
    <row r="25" spans="1:1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11" x14ac:dyDescent="0.25">
      <c r="A26" s="16"/>
      <c r="B26" s="16"/>
      <c r="C26" s="17"/>
      <c r="D26" s="17"/>
      <c r="E26" s="17"/>
      <c r="F26" s="26">
        <v>300</v>
      </c>
      <c r="G26" s="26">
        <v>0</v>
      </c>
      <c r="H26" s="26">
        <v>0</v>
      </c>
      <c r="I26" s="26">
        <f>I22-F26+G26</f>
        <v>22.319999999999936</v>
      </c>
      <c r="J26" s="26">
        <v>0</v>
      </c>
    </row>
    <row r="27" spans="1:11" x14ac:dyDescent="0.25">
      <c r="A27" s="16"/>
      <c r="B27" s="16"/>
      <c r="C27" s="17"/>
      <c r="D27" s="17"/>
      <c r="E27" s="17"/>
      <c r="F27" s="26"/>
      <c r="G27" s="26"/>
      <c r="H27" s="26"/>
      <c r="I27" s="26"/>
      <c r="J27" s="26"/>
    </row>
    <row r="28" spans="1:11" x14ac:dyDescent="0.25">
      <c r="A28" s="16"/>
      <c r="B28" s="16"/>
      <c r="C28" s="17"/>
      <c r="D28" s="17"/>
      <c r="E28" s="17"/>
      <c r="F28" s="26"/>
      <c r="G28" s="26"/>
      <c r="H28" s="26"/>
      <c r="I28" s="26"/>
      <c r="J28" s="26"/>
    </row>
    <row r="29" spans="1:11" x14ac:dyDescent="0.25">
      <c r="A29" s="16"/>
      <c r="B29" s="16"/>
      <c r="C29" s="17"/>
      <c r="D29" s="17"/>
      <c r="E29" s="17"/>
      <c r="F29" s="26"/>
      <c r="G29" s="26"/>
      <c r="H29" s="26"/>
      <c r="I29" s="26"/>
      <c r="J29" s="26"/>
    </row>
    <row r="30" spans="1:1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11" x14ac:dyDescent="0.25">
      <c r="C31" s="1"/>
      <c r="D31" s="1"/>
      <c r="E31" s="1"/>
      <c r="F31" s="26">
        <v>0</v>
      </c>
      <c r="G31" s="26">
        <v>0</v>
      </c>
      <c r="H31" s="26">
        <v>0</v>
      </c>
      <c r="I31" s="26">
        <f>I26-F31+G31</f>
        <v>22.319999999999936</v>
      </c>
      <c r="J31" s="26">
        <v>0</v>
      </c>
    </row>
    <row r="32" spans="1:11" ht="16.5" customHeight="1" x14ac:dyDescent="0.35">
      <c r="A32" s="16"/>
      <c r="B32" s="16"/>
      <c r="C32" s="17"/>
      <c r="D32" s="17"/>
      <c r="E32" s="17"/>
      <c r="F32" s="26"/>
      <c r="G32" s="26"/>
      <c r="H32" s="26"/>
      <c r="I32" s="26"/>
      <c r="J32" s="26"/>
      <c r="K32" s="9"/>
    </row>
    <row r="33" spans="1:11" x14ac:dyDescent="0.25">
      <c r="A33" s="16"/>
      <c r="B33" s="16"/>
      <c r="C33" s="17"/>
      <c r="D33" s="17"/>
      <c r="E33" s="17"/>
      <c r="F33" s="26"/>
      <c r="G33" s="26"/>
      <c r="H33" s="26"/>
      <c r="I33" s="26"/>
      <c r="J33" s="26"/>
    </row>
    <row r="34" spans="1:1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1" x14ac:dyDescent="0.25">
      <c r="A35" s="16"/>
      <c r="B35" s="16"/>
      <c r="C35" s="17"/>
      <c r="D35" s="17"/>
      <c r="E35" s="17"/>
      <c r="F35" s="26">
        <v>0</v>
      </c>
      <c r="G35" s="26">
        <v>0</v>
      </c>
      <c r="H35" s="26">
        <v>0</v>
      </c>
      <c r="I35" s="26"/>
      <c r="J35" s="26">
        <v>0</v>
      </c>
    </row>
    <row r="36" spans="1:11" ht="18" customHeight="1" x14ac:dyDescent="0.35">
      <c r="A36" s="16"/>
      <c r="B36" s="16"/>
      <c r="C36" s="17"/>
      <c r="D36" s="17"/>
      <c r="E36" s="17"/>
      <c r="F36" s="26"/>
      <c r="G36" s="26"/>
      <c r="H36" s="26"/>
      <c r="I36" s="26"/>
      <c r="J36" s="26"/>
      <c r="K36" s="9"/>
    </row>
    <row r="37" spans="1:11" x14ac:dyDescent="0.25">
      <c r="A37" s="16"/>
      <c r="B37" s="16"/>
      <c r="C37" s="17"/>
      <c r="D37" s="17"/>
      <c r="E37" s="17"/>
      <c r="F37" s="26"/>
      <c r="G37" s="26"/>
      <c r="H37" s="26"/>
      <c r="I37" s="26"/>
      <c r="J37" s="26"/>
    </row>
    <row r="38" spans="1:1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1" x14ac:dyDescent="0.25">
      <c r="A39" s="16"/>
      <c r="B39" s="16"/>
      <c r="C39" s="17"/>
      <c r="D39" s="17"/>
      <c r="E39" s="17"/>
      <c r="F39" s="26">
        <v>0</v>
      </c>
      <c r="G39" s="26">
        <v>0</v>
      </c>
      <c r="H39" s="26">
        <v>0</v>
      </c>
      <c r="I39" s="26"/>
      <c r="J39" s="26">
        <v>0</v>
      </c>
    </row>
    <row r="40" spans="1:11" x14ac:dyDescent="0.25">
      <c r="A40" s="16"/>
      <c r="B40" s="16"/>
      <c r="C40" s="17"/>
      <c r="D40" s="17"/>
      <c r="E40" s="17"/>
      <c r="F40" s="26"/>
      <c r="G40" s="26"/>
      <c r="H40" s="26"/>
      <c r="I40" s="26"/>
      <c r="J40" s="26"/>
    </row>
    <row r="41" spans="1:11" x14ac:dyDescent="0.25">
      <c r="A41" s="16"/>
      <c r="B41" s="16"/>
      <c r="C41" s="17"/>
      <c r="D41" s="17"/>
      <c r="E41" s="17"/>
      <c r="F41" s="26"/>
      <c r="G41" s="26"/>
      <c r="H41" s="26"/>
      <c r="I41" s="26"/>
      <c r="J41" s="26"/>
    </row>
    <row r="42" spans="1:1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 x14ac:dyDescent="0.25">
      <c r="A43" s="16"/>
      <c r="B43" s="16"/>
      <c r="C43" s="17"/>
      <c r="D43" s="17"/>
      <c r="E43" s="17"/>
      <c r="F43" s="26">
        <v>0</v>
      </c>
      <c r="G43" s="26">
        <v>0</v>
      </c>
      <c r="H43" s="26">
        <v>0</v>
      </c>
      <c r="I43" s="26"/>
      <c r="J43" s="26">
        <v>0</v>
      </c>
    </row>
    <row r="44" spans="1:11" x14ac:dyDescent="0.25">
      <c r="A44" s="16"/>
      <c r="B44" s="16"/>
      <c r="C44" s="17"/>
      <c r="D44" s="17"/>
      <c r="E44" s="17"/>
      <c r="F44" s="26"/>
      <c r="G44" s="26"/>
      <c r="H44" s="26"/>
      <c r="I44" s="26"/>
      <c r="J44" s="26"/>
    </row>
    <row r="45" spans="1:1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1" x14ac:dyDescent="0.25">
      <c r="A46" s="16"/>
      <c r="B46" s="16"/>
      <c r="C46" s="17"/>
      <c r="D46" s="17"/>
      <c r="E46" s="17"/>
      <c r="F46" s="26">
        <v>0</v>
      </c>
      <c r="G46" s="26">
        <v>0</v>
      </c>
      <c r="H46" s="26">
        <v>0</v>
      </c>
      <c r="I46" s="26"/>
      <c r="J46" s="26">
        <v>0</v>
      </c>
    </row>
    <row r="47" spans="1:11" x14ac:dyDescent="0.25">
      <c r="A47" s="16"/>
      <c r="B47" s="16"/>
      <c r="C47" s="17"/>
      <c r="D47" s="17"/>
      <c r="E47" s="17"/>
      <c r="F47" s="26"/>
      <c r="G47" s="26"/>
      <c r="H47" s="26"/>
      <c r="I47" s="26"/>
      <c r="J47" s="26"/>
    </row>
    <row r="48" spans="1:1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 ht="15" customHeight="1" x14ac:dyDescent="0.25">
      <c r="A49" s="16"/>
      <c r="B49" s="16"/>
      <c r="C49" s="17"/>
      <c r="D49" s="17"/>
      <c r="E49" s="17"/>
      <c r="F49" s="26">
        <v>0</v>
      </c>
      <c r="G49" s="26">
        <v>0</v>
      </c>
      <c r="H49" s="26">
        <v>0</v>
      </c>
      <c r="I49" s="26"/>
      <c r="J49" s="26">
        <v>0</v>
      </c>
    </row>
    <row r="50" spans="1:10" ht="15" customHeight="1" x14ac:dyDescent="0.25">
      <c r="A50" s="16"/>
      <c r="B50" s="16"/>
      <c r="C50" s="17"/>
      <c r="D50" s="17"/>
      <c r="E50" s="17"/>
      <c r="F50" s="26"/>
      <c r="G50" s="26"/>
      <c r="H50" s="26"/>
      <c r="I50" s="26"/>
      <c r="J50" s="26"/>
    </row>
    <row r="51" spans="1:10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</row>
  </sheetData>
  <mergeCells count="98">
    <mergeCell ref="K8:K9"/>
    <mergeCell ref="K11:K12"/>
    <mergeCell ref="A7:J7"/>
    <mergeCell ref="F2:F3"/>
    <mergeCell ref="G2:G3"/>
    <mergeCell ref="H2:H3"/>
    <mergeCell ref="I2:I3"/>
    <mergeCell ref="J2:J3"/>
    <mergeCell ref="A4:J4"/>
    <mergeCell ref="F5:F6"/>
    <mergeCell ref="G5:G6"/>
    <mergeCell ref="H5:H6"/>
    <mergeCell ref="I5:I6"/>
    <mergeCell ref="J5:J6"/>
    <mergeCell ref="K2:K3"/>
    <mergeCell ref="K5:K6"/>
    <mergeCell ref="A13:J13"/>
    <mergeCell ref="F8:F9"/>
    <mergeCell ref="G8:G9"/>
    <mergeCell ref="H8:H9"/>
    <mergeCell ref="I8:I9"/>
    <mergeCell ref="J8:J9"/>
    <mergeCell ref="A10:J10"/>
    <mergeCell ref="F11:F12"/>
    <mergeCell ref="G11:G12"/>
    <mergeCell ref="H11:H12"/>
    <mergeCell ref="I11:I12"/>
    <mergeCell ref="J11:J12"/>
    <mergeCell ref="A21:J21"/>
    <mergeCell ref="F14:F16"/>
    <mergeCell ref="G14:G16"/>
    <mergeCell ref="H14:H16"/>
    <mergeCell ref="I14:I16"/>
    <mergeCell ref="J14:J16"/>
    <mergeCell ref="A17:J17"/>
    <mergeCell ref="F18:F20"/>
    <mergeCell ref="G18:G20"/>
    <mergeCell ref="H18:H20"/>
    <mergeCell ref="I18:I20"/>
    <mergeCell ref="J18:J20"/>
    <mergeCell ref="F35:F37"/>
    <mergeCell ref="G35:G37"/>
    <mergeCell ref="H35:H37"/>
    <mergeCell ref="I35:I37"/>
    <mergeCell ref="J35:J37"/>
    <mergeCell ref="P11:P12"/>
    <mergeCell ref="A48:J48"/>
    <mergeCell ref="M8:P8"/>
    <mergeCell ref="F43:F44"/>
    <mergeCell ref="G43:G44"/>
    <mergeCell ref="H43:H44"/>
    <mergeCell ref="I43:I44"/>
    <mergeCell ref="J43:J44"/>
    <mergeCell ref="M9:P9"/>
    <mergeCell ref="A42:J42"/>
    <mergeCell ref="F39:F41"/>
    <mergeCell ref="G39:G41"/>
    <mergeCell ref="H39:H41"/>
    <mergeCell ref="I39:I41"/>
    <mergeCell ref="J39:J41"/>
    <mergeCell ref="A30:J30"/>
    <mergeCell ref="H31:H33"/>
    <mergeCell ref="I31:I33"/>
    <mergeCell ref="J31:J33"/>
    <mergeCell ref="A34:J34"/>
    <mergeCell ref="O11:O12"/>
    <mergeCell ref="F22:F24"/>
    <mergeCell ref="G22:G24"/>
    <mergeCell ref="H22:H24"/>
    <mergeCell ref="I22:I24"/>
    <mergeCell ref="J22:J24"/>
    <mergeCell ref="A25:J25"/>
    <mergeCell ref="F26:F29"/>
    <mergeCell ref="G26:G29"/>
    <mergeCell ref="H26:H29"/>
    <mergeCell ref="I26:I29"/>
    <mergeCell ref="J26:J29"/>
    <mergeCell ref="P13:P14"/>
    <mergeCell ref="A51:J51"/>
    <mergeCell ref="F49:F50"/>
    <mergeCell ref="G49:G50"/>
    <mergeCell ref="H49:H50"/>
    <mergeCell ref="I49:I50"/>
    <mergeCell ref="J49:J50"/>
    <mergeCell ref="A45:J45"/>
    <mergeCell ref="F46:F47"/>
    <mergeCell ref="G46:G47"/>
    <mergeCell ref="H46:H47"/>
    <mergeCell ref="I46:I47"/>
    <mergeCell ref="J46:J47"/>
    <mergeCell ref="A38:J38"/>
    <mergeCell ref="F31:F33"/>
    <mergeCell ref="G31:G33"/>
    <mergeCell ref="M11:M12"/>
    <mergeCell ref="N11:N12"/>
    <mergeCell ref="M13:M14"/>
    <mergeCell ref="N13:N14"/>
    <mergeCell ref="O13:O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C2"/>
  <sheetViews>
    <sheetView workbookViewId="0">
      <selection activeCell="C2" sqref="C2"/>
    </sheetView>
  </sheetViews>
  <sheetFormatPr baseColWidth="10" defaultColWidth="11.42578125" defaultRowHeight="15" x14ac:dyDescent="0.25"/>
  <cols>
    <col min="1" max="1" width="49.28515625" style="1" customWidth="1"/>
    <col min="2" max="2" width="32.85546875" style="1" customWidth="1"/>
    <col min="3" max="3" width="35.42578125" style="1" customWidth="1"/>
    <col min="4" max="16384" width="11.42578125" style="1"/>
  </cols>
  <sheetData>
    <row r="1" spans="1:3" x14ac:dyDescent="0.25">
      <c r="A1" s="1" t="s">
        <v>2</v>
      </c>
      <c r="B1" s="1" t="s">
        <v>3</v>
      </c>
      <c r="C1" s="1" t="s">
        <v>5</v>
      </c>
    </row>
    <row r="2" spans="1:3" x14ac:dyDescent="0.25">
      <c r="A2" s="2" t="s">
        <v>6</v>
      </c>
      <c r="B2" s="2" t="s">
        <v>4</v>
      </c>
      <c r="C2" s="2" t="s">
        <v>22</v>
      </c>
    </row>
  </sheetData>
  <hyperlinks>
    <hyperlink ref="A2" r:id="rId1" xr:uid="{00000000-0004-0000-0200-000000000000}"/>
    <hyperlink ref="B2" r:id="rId2" xr:uid="{00000000-0004-0000-0200-000001000000}"/>
    <hyperlink ref="C2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 06 al 11 de enero</vt:lpstr>
      <vt:lpstr>analisis 12 al 18 de enero</vt:lpstr>
      <vt:lpstr>paginas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Burgos</dc:creator>
  <cp:lastModifiedBy>Burgos</cp:lastModifiedBy>
  <dcterms:created xsi:type="dcterms:W3CDTF">2026-01-05T20:14:15Z</dcterms:created>
  <dcterms:modified xsi:type="dcterms:W3CDTF">2026-01-14T03:26:37Z</dcterms:modified>
</cp:coreProperties>
</file>